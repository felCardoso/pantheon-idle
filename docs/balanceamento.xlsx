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ig" sheetId="1" state="visible" r:id="rId3"/>
    <sheet name="Personage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<sst xmlns="http://schemas.openxmlformats.org/spreadsheetml/2006/main" count="178" uniqueCount="78">
  <si>
    <t xml:space="preserve">Config — Pesos do Power Score e stats base por raridade</t>
  </si>
  <si>
    <t xml:space="preserve">Pesos do Power Score (ajuste livremente — todas as fórmulas da aba Personagens recalculam sozinhas)</t>
  </si>
  <si>
    <t xml:space="preserve">Peso HP</t>
  </si>
  <si>
    <t xml:space="preserve">Peso ATK</t>
  </si>
  <si>
    <t xml:space="preserve">Peso INI</t>
  </si>
  <si>
    <t xml:space="preserve">Peso ESQ (fração, ex: 0.05)</t>
  </si>
  <si>
    <t xml:space="preserve">Stats base por raridade (nível 1, 0 estrelas, sem Módulos) — ponto de partida, ajuste conforme os testes de balanceamento</t>
  </si>
  <si>
    <t xml:space="preserve">Raridade</t>
  </si>
  <si>
    <t xml:space="preserve">HP base</t>
  </si>
  <si>
    <t xml:space="preserve">ATK base</t>
  </si>
  <si>
    <t xml:space="preserve">INI base</t>
  </si>
  <si>
    <t xml:space="preserve">ESQ base (fração)</t>
  </si>
  <si>
    <t xml:space="preserve">Alpha</t>
  </si>
  <si>
    <t xml:space="preserve">Beta</t>
  </si>
  <si>
    <t xml:space="preserve">RC</t>
  </si>
  <si>
    <t xml:space="preserve">Stable</t>
  </si>
  <si>
    <t xml:space="preserve">LTS</t>
  </si>
  <si>
    <t xml:space="preserve">Quantum</t>
  </si>
  <si>
    <t xml:space="preserve">DEF base é sempre 0 para todos os personagens (regra de design: DEF só sobe via habilidade própria ou Módulos .dll)</t>
  </si>
  <si>
    <t xml:space="preserve">Nome</t>
  </si>
  <si>
    <t xml:space="preserve">Mundo (.iso)</t>
  </si>
  <si>
    <t xml:space="preserve">Mitologia</t>
  </si>
  <si>
    <t xml:space="preserve">Facção</t>
  </si>
  <si>
    <t xml:space="preserve">Elemento</t>
  </si>
  <si>
    <t xml:space="preserve">HP</t>
  </si>
  <si>
    <t xml:space="preserve">ATK</t>
  </si>
  <si>
    <t xml:space="preserve">DEF</t>
  </si>
  <si>
    <t xml:space="preserve">INI</t>
  </si>
  <si>
    <t xml:space="preserve">ESQ</t>
  </si>
  <si>
    <t xml:space="preserve">Tipo de Habilidade</t>
  </si>
  <si>
    <t xml:space="preserve">Power Score</t>
  </si>
  <si>
    <t xml:space="preserve">Notas</t>
  </si>
  <si>
    <t xml:space="preserve">Odin.exe</t>
  </si>
  <si>
    <t xml:space="preserve">Yggdrasil.iso</t>
  </si>
  <si>
    <t xml:space="preserve">Nórdica</t>
  </si>
  <si>
    <t xml:space="preserve">Firewall</t>
  </si>
  <si>
    <t xml:space="preserve">Encryption</t>
  </si>
  <si>
    <t xml:space="preserve">Freya.exe</t>
  </si>
  <si>
    <t xml:space="preserve">Crypto-Miner</t>
  </si>
  <si>
    <t xml:space="preserve">Nanites</t>
  </si>
  <si>
    <t xml:space="preserve">Thor.exe</t>
  </si>
  <si>
    <t xml:space="preserve">Malware</t>
  </si>
  <si>
    <t xml:space="preserve">Vírus</t>
  </si>
  <si>
    <t xml:space="preserve">Ratatoskr.exe</t>
  </si>
  <si>
    <t xml:space="preserve">Exploit</t>
  </si>
  <si>
    <t xml:space="preserve">Backdoor</t>
  </si>
  <si>
    <t xml:space="preserve">Zeus.exe</t>
  </si>
  <si>
    <t xml:space="preserve">Olympus.iso</t>
  </si>
  <si>
    <t xml:space="preserve">Grega</t>
  </si>
  <si>
    <t xml:space="preserve">Hades.exe</t>
  </si>
  <si>
    <t xml:space="preserve">Atena.exe</t>
  </si>
  <si>
    <t xml:space="preserve">Sátiro.exe</t>
  </si>
  <si>
    <t xml:space="preserve">Ra.exe</t>
  </si>
  <si>
    <t xml:space="preserve">Duat.iso</t>
  </si>
  <si>
    <t xml:space="preserve">Egípcia</t>
  </si>
  <si>
    <t xml:space="preserve">Anúbis.exe</t>
  </si>
  <si>
    <t xml:space="preserve">Ísis.exe</t>
  </si>
  <si>
    <t xml:space="preserve">Brute Force</t>
  </si>
  <si>
    <t xml:space="preserve">Escaravelho.exe</t>
  </si>
  <si>
    <t xml:space="preserve">Amaterasu.exe</t>
  </si>
  <si>
    <t xml:space="preserve">Takamagahara.iso</t>
  </si>
  <si>
    <t xml:space="preserve">Japonesa</t>
  </si>
  <si>
    <t xml:space="preserve">Susanoo.exe</t>
  </si>
  <si>
    <t xml:space="preserve">Kitsune.exe</t>
  </si>
  <si>
    <t xml:space="preserve">Tanuki.exe</t>
  </si>
  <si>
    <t xml:space="preserve">Oxalá.exe</t>
  </si>
  <si>
    <t xml:space="preserve">Orun.iso</t>
  </si>
  <si>
    <t xml:space="preserve">Iorubá</t>
  </si>
  <si>
    <t xml:space="preserve">Iansã.exe</t>
  </si>
  <si>
    <t xml:space="preserve">Oxum.exe</t>
  </si>
  <si>
    <t xml:space="preserve">Exu.exe</t>
  </si>
  <si>
    <t xml:space="preserve">Jurupari.exe</t>
  </si>
  <si>
    <t xml:space="preserve">Jurupari.iso</t>
  </si>
  <si>
    <t xml:space="preserve">Folclore Brasileiro</t>
  </si>
  <si>
    <t xml:space="preserve">Boitatá.exe</t>
  </si>
  <si>
    <t xml:space="preserve">Iara.exe</t>
  </si>
  <si>
    <t xml:space="preserve">Saci.exe</t>
  </si>
  <si>
    <t xml:space="preserve">Legenda: colunas azuis em Config são valores editáveis (pesos e stats base). HP/ATK/INI/ESQ aqui puxam da aba Config por raridade automaticamente — sobrescreva manualmente uma célula se um personagem específico precisar fugir do padrão.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</si>
</sst>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2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  <c r="B4" s="4" t="n">
        <v>0.02</v>
      </c>
    </row>
    <row r="5" customFormat="false" ht="15" hidden="false" customHeight="false" outlineLevel="0" collapsed="false">
      <c r="A5" s="3" t="s">
        <v>3</v>
      </c>
      <c r="B5" s="4" t="n">
        <v>3</v>
      </c>
    </row>
    <row r="6" customFormat="false" ht="15" hidden="false" customHeight="false" outlineLevel="0" collapsed="false">
      <c r="A6" s="3" t="s">
        <v>4</v>
      </c>
      <c r="B6" s="4" t="n">
        <v>2</v>
      </c>
    </row>
    <row r="7" customFormat="false" ht="15" hidden="false" customHeight="false" outlineLevel="0" collapsed="false">
      <c r="A7" s="3" t="s">
        <v>5</v>
      </c>
      <c r="B7" s="4" t="n">
        <v>500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5" t="s">
        <v>7</v>
      </c>
      <c r="B10" s="5" t="s">
        <v>8</v>
      </c>
      <c r="C10" s="5" t="s">
        <v>9</v>
      </c>
      <c r="D10" s="5" t="s">
        <v>10</v>
      </c>
      <c r="E10" s="5" t="s">
        <v>11</v>
      </c>
    </row>
    <row r="11" customFormat="false" ht="15" hidden="false" customHeight="false" outlineLevel="0" collapsed="false">
      <c r="A11" s="3" t="s">
        <v>12</v>
      </c>
      <c r="B11" s="4" t="n">
        <v>800</v>
      </c>
      <c r="C11" s="4" t="n">
        <v>80</v>
      </c>
      <c r="D11" s="4" t="n">
        <v>80</v>
      </c>
      <c r="E11" s="6" t="n">
        <v>0.05</v>
      </c>
    </row>
    <row r="12" customFormat="false" ht="15" hidden="false" customHeight="false" outlineLevel="0" collapsed="false">
      <c r="A12" s="3" t="s">
        <v>13</v>
      </c>
      <c r="B12" s="4" t="n">
        <v>1000</v>
      </c>
      <c r="C12" s="4" t="n">
        <v>100</v>
      </c>
      <c r="D12" s="4" t="n">
        <v>85</v>
      </c>
      <c r="E12" s="6" t="n">
        <v>0.06</v>
      </c>
    </row>
    <row r="13" customFormat="false" ht="15" hidden="false" customHeight="false" outlineLevel="0" collapsed="false">
      <c r="A13" s="3" t="s">
        <v>14</v>
      </c>
      <c r="B13" s="4" t="n">
        <v>1300</v>
      </c>
      <c r="C13" s="4" t="n">
        <v>130</v>
      </c>
      <c r="D13" s="4" t="n">
        <v>90</v>
      </c>
      <c r="E13" s="6" t="n">
        <v>0.07</v>
      </c>
    </row>
    <row r="14" customFormat="false" ht="15" hidden="false" customHeight="false" outlineLevel="0" collapsed="false">
      <c r="A14" s="3" t="s">
        <v>15</v>
      </c>
      <c r="B14" s="4" t="n">
        <v>1700</v>
      </c>
      <c r="C14" s="4" t="n">
        <v>170</v>
      </c>
      <c r="D14" s="4" t="n">
        <v>95</v>
      </c>
      <c r="E14" s="6" t="n">
        <v>0.08</v>
      </c>
    </row>
    <row r="15" customFormat="false" ht="15" hidden="false" customHeight="false" outlineLevel="0" collapsed="false">
      <c r="A15" s="3" t="s">
        <v>16</v>
      </c>
      <c r="B15" s="4" t="n">
        <v>2200</v>
      </c>
      <c r="C15" s="4" t="n">
        <v>220</v>
      </c>
      <c r="D15" s="4" t="n">
        <v>100</v>
      </c>
      <c r="E15" s="6" t="n">
        <v>0.09</v>
      </c>
    </row>
    <row r="16" customFormat="false" ht="15" hidden="false" customHeight="false" outlineLevel="0" collapsed="false">
      <c r="A16" s="3" t="s">
        <v>17</v>
      </c>
      <c r="B16" s="4" t="n">
        <v>3000</v>
      </c>
      <c r="C16" s="4" t="n">
        <v>300</v>
      </c>
      <c r="D16" s="4" t="n">
        <v>110</v>
      </c>
      <c r="E16" s="6" t="n">
        <v>0.1</v>
      </c>
    </row>
    <row r="18" customFormat="false" ht="15" hidden="false" customHeight="false" outlineLevel="0" collapsed="false">
      <c r="A18" s="7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8" min="7" style="0" width="8"/>
    <col collapsed="false" customWidth="true" hidden="false" outlineLevel="0" max="10" min="9" style="0" width="6"/>
    <col collapsed="false" customWidth="true" hidden="false" outlineLevel="0" max="11" min="11" style="0" width="8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20"/>
  </cols>
  <sheetData>
    <row r="1" customFormat="false" ht="26.85" hidden="false" customHeight="false" outlineLevel="0" collapsed="false">
      <c r="A1" s="8" t="s">
        <v>19</v>
      </c>
      <c r="B1" s="8" t="s">
        <v>20</v>
      </c>
      <c r="C1" s="8" t="s">
        <v>21</v>
      </c>
      <c r="D1" s="8" t="s">
        <v>22</v>
      </c>
      <c r="E1" s="8" t="s">
        <v>23</v>
      </c>
      <c r="F1" s="8" t="s">
        <v>7</v>
      </c>
      <c r="G1" s="8" t="s">
        <v>24</v>
      </c>
      <c r="H1" s="8" t="s">
        <v>25</v>
      </c>
      <c r="I1" s="8" t="s">
        <v>26</v>
      </c>
      <c r="J1" s="8" t="s">
        <v>27</v>
      </c>
      <c r="K1" s="8" t="s">
        <v>28</v>
      </c>
      <c r="L1" s="8" t="s">
        <v>29</v>
      </c>
      <c r="M1" s="8" t="s">
        <v>30</v>
      </c>
      <c r="N1" s="8" t="s">
        <v>31</v>
      </c>
    </row>
    <row r="2" customFormat="false" ht="15" hidden="false" customHeight="false" outlineLevel="0" collapsed="false">
      <c r="A2" s="3" t="s">
        <v>32</v>
      </c>
      <c r="B2" s="3" t="s">
        <v>33</v>
      </c>
      <c r="C2" s="3" t="s">
        <v>34</v>
      </c>
      <c r="D2" s="3" t="s">
        <v>35</v>
      </c>
      <c r="E2" s="3" t="s">
        <v>36</v>
      </c>
      <c r="F2" s="3" t="s">
        <v>17</v>
      </c>
      <c r="G2" s="3" t="n">
        <f aca="false">INDEX(Config!$B$11:$B$16,MATCH(F2,Config!$A$11:$A$16,0))</f>
        <v>3000</v>
      </c>
      <c r="H2" s="3" t="n">
        <f aca="false">INDEX(Config!$C$11:$C$16,MATCH(F2,Config!$A$11:$A$16,0))</f>
        <v>300</v>
      </c>
      <c r="I2" s="3" t="n">
        <v>0</v>
      </c>
      <c r="J2" s="3" t="n">
        <f aca="false">INDEX(Config!$D$11:$D$16,MATCH(F2,Config!$A$11:$A$16,0))</f>
        <v>110</v>
      </c>
      <c r="K2" s="9" t="n">
        <f aca="false">INDEX(Config!$E$11:$E$16,MATCH(F2,Config!$A$11:$A$16,0))</f>
        <v>0.1</v>
      </c>
      <c r="L2" s="3" t="str">
        <f aca="false">IF(OR(F2="Stable",F2="LTS",F2="Quantum"),"Passiva","Ativa (3 opções)")</f>
        <v>Passiva</v>
      </c>
      <c r="M2" s="10" t="n">
        <f aca="false">G2*Config!$B$4 + H2*Config!$B$5 + J2*Config!$B$6 + K2*Config!$B$7</f>
        <v>1230</v>
      </c>
      <c r="N2" s="3"/>
    </row>
    <row r="3" customFormat="false" ht="15" hidden="false" customHeight="false" outlineLevel="0" collapsed="false">
      <c r="A3" s="3" t="s">
        <v>37</v>
      </c>
      <c r="B3" s="3" t="s">
        <v>33</v>
      </c>
      <c r="C3" s="3" t="s">
        <v>34</v>
      </c>
      <c r="D3" s="3" t="s">
        <v>38</v>
      </c>
      <c r="E3" s="3" t="s">
        <v>39</v>
      </c>
      <c r="F3" s="3" t="s">
        <v>16</v>
      </c>
      <c r="G3" s="3" t="n">
        <f aca="false">INDEX(Config!$B$11:$B$16,MATCH(F3,Config!$A$11:$A$16,0))</f>
        <v>2200</v>
      </c>
      <c r="H3" s="3" t="n">
        <f aca="false">INDEX(Config!$C$11:$C$16,MATCH(F3,Config!$A$11:$A$16,0))</f>
        <v>220</v>
      </c>
      <c r="I3" s="3" t="n">
        <v>0</v>
      </c>
      <c r="J3" s="3" t="n">
        <f aca="false">INDEX(Config!$D$11:$D$16,MATCH(F3,Config!$A$11:$A$16,0))</f>
        <v>100</v>
      </c>
      <c r="K3" s="9" t="n">
        <f aca="false">INDEX(Config!$E$11:$E$16,MATCH(F3,Config!$A$11:$A$16,0))</f>
        <v>0.09</v>
      </c>
      <c r="L3" s="3" t="str">
        <f aca="false">IF(OR(F3="Stable",F3="LTS",F3="Quantum"),"Passiva","Ativa (3 opções)")</f>
        <v>Passiva</v>
      </c>
      <c r="M3" s="10" t="n">
        <f aca="false">G3*Config!$B$4 + H3*Config!$B$5 + J3*Config!$B$6 + K3*Config!$B$7</f>
        <v>949</v>
      </c>
      <c r="N3" s="3"/>
    </row>
    <row r="4" customFormat="false" ht="15" hidden="false" customHeight="false" outlineLevel="0" collapsed="false">
      <c r="A4" s="3" t="s">
        <v>40</v>
      </c>
      <c r="B4" s="3" t="s">
        <v>33</v>
      </c>
      <c r="C4" s="3" t="s">
        <v>34</v>
      </c>
      <c r="D4" s="3" t="s">
        <v>41</v>
      </c>
      <c r="E4" s="3" t="s">
        <v>42</v>
      </c>
      <c r="F4" s="3" t="s">
        <v>14</v>
      </c>
      <c r="G4" s="3" t="n">
        <f aca="false">INDEX(Config!$B$11:$B$16,MATCH(F4,Config!$A$11:$A$16,0))</f>
        <v>1300</v>
      </c>
      <c r="H4" s="3" t="n">
        <f aca="false">INDEX(Config!$C$11:$C$16,MATCH(F4,Config!$A$11:$A$16,0))</f>
        <v>130</v>
      </c>
      <c r="I4" s="3" t="n">
        <v>0</v>
      </c>
      <c r="J4" s="3" t="n">
        <f aca="false">INDEX(Config!$D$11:$D$16,MATCH(F4,Config!$A$11:$A$16,0))</f>
        <v>90</v>
      </c>
      <c r="K4" s="9" t="n">
        <f aca="false">INDEX(Config!$E$11:$E$16,MATCH(F4,Config!$A$11:$A$16,0))</f>
        <v>0.07</v>
      </c>
      <c r="L4" s="3" t="str">
        <f aca="false">IF(OR(F4="Stable",F4="LTS",F4="Quantum"),"Passiva","Ativa (3 opções)")</f>
        <v>Ativa (3 opções)</v>
      </c>
      <c r="M4" s="10" t="n">
        <f aca="false">G4*Config!$B$4 + H4*Config!$B$5 + J4*Config!$B$6 + K4*Config!$B$7</f>
        <v>631</v>
      </c>
      <c r="N4" s="3"/>
    </row>
    <row r="5" customFormat="false" ht="15" hidden="false" customHeight="false" outlineLevel="0" collapsed="false">
      <c r="A5" s="3" t="s">
        <v>43</v>
      </c>
      <c r="B5" s="3" t="s">
        <v>33</v>
      </c>
      <c r="C5" s="3" t="s">
        <v>34</v>
      </c>
      <c r="D5" s="3" t="s">
        <v>44</v>
      </c>
      <c r="E5" s="3" t="s">
        <v>45</v>
      </c>
      <c r="F5" s="3" t="s">
        <v>13</v>
      </c>
      <c r="G5" s="3" t="n">
        <f aca="false">INDEX(Config!$B$11:$B$16,MATCH(F5,Config!$A$11:$A$16,0))</f>
        <v>1000</v>
      </c>
      <c r="H5" s="3" t="n">
        <f aca="false">INDEX(Config!$C$11:$C$16,MATCH(F5,Config!$A$11:$A$16,0))</f>
        <v>100</v>
      </c>
      <c r="I5" s="3" t="n">
        <v>0</v>
      </c>
      <c r="J5" s="3" t="n">
        <f aca="false">INDEX(Config!$D$11:$D$16,MATCH(F5,Config!$A$11:$A$16,0))</f>
        <v>85</v>
      </c>
      <c r="K5" s="9" t="n">
        <f aca="false">INDEX(Config!$E$11:$E$16,MATCH(F5,Config!$A$11:$A$16,0))</f>
        <v>0.06</v>
      </c>
      <c r="L5" s="3" t="str">
        <f aca="false">IF(OR(F5="Stable",F5="LTS",F5="Quantum"),"Passiva","Ativa (3 opções)")</f>
        <v>Ativa (3 opções)</v>
      </c>
      <c r="M5" s="10" t="n">
        <f aca="false">G5*Config!$B$4 + H5*Config!$B$5 + J5*Config!$B$6 + K5*Config!$B$7</f>
        <v>520</v>
      </c>
      <c r="N5" s="3"/>
    </row>
    <row r="6" customFormat="false" ht="15" hidden="false" customHeight="false" outlineLevel="0" collapsed="false">
      <c r="A6" s="3" t="s">
        <v>46</v>
      </c>
      <c r="B6" s="3" t="s">
        <v>47</v>
      </c>
      <c r="C6" s="3" t="s">
        <v>48</v>
      </c>
      <c r="D6" s="3" t="s">
        <v>41</v>
      </c>
      <c r="E6" s="3" t="s">
        <v>36</v>
      </c>
      <c r="F6" s="3" t="s">
        <v>17</v>
      </c>
      <c r="G6" s="3" t="n">
        <f aca="false">INDEX(Config!$B$11:$B$16,MATCH(F6,Config!$A$11:$A$16,0))</f>
        <v>3000</v>
      </c>
      <c r="H6" s="3" t="n">
        <f aca="false">INDEX(Config!$C$11:$C$16,MATCH(F6,Config!$A$11:$A$16,0))</f>
        <v>300</v>
      </c>
      <c r="I6" s="3" t="n">
        <v>0</v>
      </c>
      <c r="J6" s="3" t="n">
        <f aca="false">INDEX(Config!$D$11:$D$16,MATCH(F6,Config!$A$11:$A$16,0))</f>
        <v>110</v>
      </c>
      <c r="K6" s="9" t="n">
        <f aca="false">INDEX(Config!$E$11:$E$16,MATCH(F6,Config!$A$11:$A$16,0))</f>
        <v>0.1</v>
      </c>
      <c r="L6" s="3" t="str">
        <f aca="false">IF(OR(F6="Stable",F6="LTS",F6="Quantum"),"Passiva","Ativa (3 opções)")</f>
        <v>Passiva</v>
      </c>
      <c r="M6" s="10" t="n">
        <f aca="false">G6*Config!$B$4 + H6*Config!$B$5 + J6*Config!$B$6 + K6*Config!$B$7</f>
        <v>1230</v>
      </c>
      <c r="N6" s="3"/>
    </row>
    <row r="7" customFormat="false" ht="15" hidden="false" customHeight="false" outlineLevel="0" collapsed="false">
      <c r="A7" s="3" t="s">
        <v>49</v>
      </c>
      <c r="B7" s="3" t="s">
        <v>47</v>
      </c>
      <c r="C7" s="3" t="s">
        <v>48</v>
      </c>
      <c r="D7" s="3" t="s">
        <v>35</v>
      </c>
      <c r="E7" s="3" t="s">
        <v>45</v>
      </c>
      <c r="F7" s="3" t="s">
        <v>16</v>
      </c>
      <c r="G7" s="3" t="n">
        <f aca="false">INDEX(Config!$B$11:$B$16,MATCH(F7,Config!$A$11:$A$16,0))</f>
        <v>2200</v>
      </c>
      <c r="H7" s="3" t="n">
        <f aca="false">INDEX(Config!$C$11:$C$16,MATCH(F7,Config!$A$11:$A$16,0))</f>
        <v>220</v>
      </c>
      <c r="I7" s="3" t="n">
        <v>0</v>
      </c>
      <c r="J7" s="3" t="n">
        <f aca="false">INDEX(Config!$D$11:$D$16,MATCH(F7,Config!$A$11:$A$16,0))</f>
        <v>100</v>
      </c>
      <c r="K7" s="9" t="n">
        <f aca="false">INDEX(Config!$E$11:$E$16,MATCH(F7,Config!$A$11:$A$16,0))</f>
        <v>0.09</v>
      </c>
      <c r="L7" s="3" t="str">
        <f aca="false">IF(OR(F7="Stable",F7="LTS",F7="Quantum"),"Passiva","Ativa (3 opções)")</f>
        <v>Passiva</v>
      </c>
      <c r="M7" s="10" t="n">
        <f aca="false">G7*Config!$B$4 + H7*Config!$B$5 + J7*Config!$B$6 + K7*Config!$B$7</f>
        <v>949</v>
      </c>
      <c r="N7" s="3"/>
    </row>
    <row r="8" customFormat="false" ht="15" hidden="false" customHeight="false" outlineLevel="0" collapsed="false">
      <c r="A8" s="3" t="s">
        <v>50</v>
      </c>
      <c r="B8" s="3" t="s">
        <v>47</v>
      </c>
      <c r="C8" s="3" t="s">
        <v>48</v>
      </c>
      <c r="D8" s="3" t="s">
        <v>38</v>
      </c>
      <c r="E8" s="3" t="s">
        <v>36</v>
      </c>
      <c r="F8" s="3" t="s">
        <v>14</v>
      </c>
      <c r="G8" s="3" t="n">
        <f aca="false">INDEX(Config!$B$11:$B$16,MATCH(F8,Config!$A$11:$A$16,0))</f>
        <v>1300</v>
      </c>
      <c r="H8" s="3" t="n">
        <f aca="false">INDEX(Config!$C$11:$C$16,MATCH(F8,Config!$A$11:$A$16,0))</f>
        <v>130</v>
      </c>
      <c r="I8" s="3" t="n">
        <v>0</v>
      </c>
      <c r="J8" s="3" t="n">
        <f aca="false">INDEX(Config!$D$11:$D$16,MATCH(F8,Config!$A$11:$A$16,0))</f>
        <v>90</v>
      </c>
      <c r="K8" s="9" t="n">
        <f aca="false">INDEX(Config!$E$11:$E$16,MATCH(F8,Config!$A$11:$A$16,0))</f>
        <v>0.07</v>
      </c>
      <c r="L8" s="3" t="str">
        <f aca="false">IF(OR(F8="Stable",F8="LTS",F8="Quantum"),"Passiva","Ativa (3 opções)")</f>
        <v>Ativa (3 opções)</v>
      </c>
      <c r="M8" s="10" t="n">
        <f aca="false">G8*Config!$B$4 + H8*Config!$B$5 + J8*Config!$B$6 + K8*Config!$B$7</f>
        <v>631</v>
      </c>
      <c r="N8" s="3"/>
    </row>
    <row r="9" customFormat="false" ht="15" hidden="false" customHeight="false" outlineLevel="0" collapsed="false">
      <c r="A9" s="3" t="s">
        <v>51</v>
      </c>
      <c r="B9" s="3" t="s">
        <v>47</v>
      </c>
      <c r="C9" s="3" t="s">
        <v>48</v>
      </c>
      <c r="D9" s="3" t="s">
        <v>41</v>
      </c>
      <c r="E9" s="3" t="s">
        <v>42</v>
      </c>
      <c r="F9" s="3" t="s">
        <v>12</v>
      </c>
      <c r="G9" s="3" t="n">
        <f aca="false">INDEX(Config!$B$11:$B$16,MATCH(F9,Config!$A$11:$A$16,0))</f>
        <v>800</v>
      </c>
      <c r="H9" s="3" t="n">
        <f aca="false">INDEX(Config!$C$11:$C$16,MATCH(F9,Config!$A$11:$A$16,0))</f>
        <v>80</v>
      </c>
      <c r="I9" s="3" t="n">
        <v>0</v>
      </c>
      <c r="J9" s="3" t="n">
        <f aca="false">INDEX(Config!$D$11:$D$16,MATCH(F9,Config!$A$11:$A$16,0))</f>
        <v>80</v>
      </c>
      <c r="K9" s="9" t="n">
        <f aca="false">INDEX(Config!$E$11:$E$16,MATCH(F9,Config!$A$11:$A$16,0))</f>
        <v>0.05</v>
      </c>
      <c r="L9" s="3" t="str">
        <f aca="false">IF(OR(F9="Stable",F9="LTS",F9="Quantum"),"Passiva","Ativa (3 opções)")</f>
        <v>Ativa (3 opções)</v>
      </c>
      <c r="M9" s="10" t="n">
        <f aca="false">G9*Config!$B$4 + H9*Config!$B$5 + J9*Config!$B$6 + K9*Config!$B$7</f>
        <v>441</v>
      </c>
      <c r="N9" s="3"/>
    </row>
    <row r="10" customFormat="false" ht="15" hidden="false" customHeight="false" outlineLevel="0" collapsed="false">
      <c r="A10" s="3" t="s">
        <v>52</v>
      </c>
      <c r="B10" s="3" t="s">
        <v>53</v>
      </c>
      <c r="C10" s="3" t="s">
        <v>54</v>
      </c>
      <c r="D10" s="3" t="s">
        <v>38</v>
      </c>
      <c r="E10" s="3" t="s">
        <v>36</v>
      </c>
      <c r="F10" s="3" t="s">
        <v>17</v>
      </c>
      <c r="G10" s="3" t="n">
        <f aca="false">INDEX(Config!$B$11:$B$16,MATCH(F10,Config!$A$11:$A$16,0))</f>
        <v>3000</v>
      </c>
      <c r="H10" s="3" t="n">
        <f aca="false">INDEX(Config!$C$11:$C$16,MATCH(F10,Config!$A$11:$A$16,0))</f>
        <v>300</v>
      </c>
      <c r="I10" s="3" t="n">
        <v>0</v>
      </c>
      <c r="J10" s="3" t="n">
        <f aca="false">INDEX(Config!$D$11:$D$16,MATCH(F10,Config!$A$11:$A$16,0))</f>
        <v>110</v>
      </c>
      <c r="K10" s="9" t="n">
        <f aca="false">INDEX(Config!$E$11:$E$16,MATCH(F10,Config!$A$11:$A$16,0))</f>
        <v>0.1</v>
      </c>
      <c r="L10" s="3" t="str">
        <f aca="false">IF(OR(F10="Stable",F10="LTS",F10="Quantum"),"Passiva","Ativa (3 opções)")</f>
        <v>Passiva</v>
      </c>
      <c r="M10" s="10" t="n">
        <f aca="false">G10*Config!$B$4 + H10*Config!$B$5 + J10*Config!$B$6 + K10*Config!$B$7</f>
        <v>1230</v>
      </c>
      <c r="N10" s="3"/>
    </row>
    <row r="11" customFormat="false" ht="15" hidden="false" customHeight="false" outlineLevel="0" collapsed="false">
      <c r="A11" s="3" t="s">
        <v>55</v>
      </c>
      <c r="B11" s="3" t="s">
        <v>53</v>
      </c>
      <c r="C11" s="3" t="s">
        <v>54</v>
      </c>
      <c r="D11" s="3" t="s">
        <v>35</v>
      </c>
      <c r="E11" s="3" t="s">
        <v>45</v>
      </c>
      <c r="F11" s="3" t="s">
        <v>16</v>
      </c>
      <c r="G11" s="3" t="n">
        <f aca="false">INDEX(Config!$B$11:$B$16,MATCH(F11,Config!$A$11:$A$16,0))</f>
        <v>2200</v>
      </c>
      <c r="H11" s="3" t="n">
        <f aca="false">INDEX(Config!$C$11:$C$16,MATCH(F11,Config!$A$11:$A$16,0))</f>
        <v>220</v>
      </c>
      <c r="I11" s="3" t="n">
        <v>0</v>
      </c>
      <c r="J11" s="3" t="n">
        <f aca="false">INDEX(Config!$D$11:$D$16,MATCH(F11,Config!$A$11:$A$16,0))</f>
        <v>100</v>
      </c>
      <c r="K11" s="9" t="n">
        <f aca="false">INDEX(Config!$E$11:$E$16,MATCH(F11,Config!$A$11:$A$16,0))</f>
        <v>0.09</v>
      </c>
      <c r="L11" s="3" t="str">
        <f aca="false">IF(OR(F11="Stable",F11="LTS",F11="Quantum"),"Passiva","Ativa (3 opções)")</f>
        <v>Passiva</v>
      </c>
      <c r="M11" s="10" t="n">
        <f aca="false">G11*Config!$B$4 + H11*Config!$B$5 + J11*Config!$B$6 + K11*Config!$B$7</f>
        <v>949</v>
      </c>
      <c r="N11" s="3"/>
    </row>
    <row r="12" customFormat="false" ht="15" hidden="false" customHeight="false" outlineLevel="0" collapsed="false">
      <c r="A12" s="3" t="s">
        <v>56</v>
      </c>
      <c r="B12" s="3" t="s">
        <v>53</v>
      </c>
      <c r="C12" s="3" t="s">
        <v>54</v>
      </c>
      <c r="D12" s="3" t="s">
        <v>38</v>
      </c>
      <c r="E12" s="3" t="s">
        <v>57</v>
      </c>
      <c r="F12" s="3" t="s">
        <v>14</v>
      </c>
      <c r="G12" s="3" t="n">
        <f aca="false">INDEX(Config!$B$11:$B$16,MATCH(F12,Config!$A$11:$A$16,0))</f>
        <v>1300</v>
      </c>
      <c r="H12" s="3" t="n">
        <f aca="false">INDEX(Config!$C$11:$C$16,MATCH(F12,Config!$A$11:$A$16,0))</f>
        <v>130</v>
      </c>
      <c r="I12" s="3" t="n">
        <v>0</v>
      </c>
      <c r="J12" s="3" t="n">
        <f aca="false">INDEX(Config!$D$11:$D$16,MATCH(F12,Config!$A$11:$A$16,0))</f>
        <v>90</v>
      </c>
      <c r="K12" s="9" t="n">
        <f aca="false">INDEX(Config!$E$11:$E$16,MATCH(F12,Config!$A$11:$A$16,0))</f>
        <v>0.07</v>
      </c>
      <c r="L12" s="3" t="str">
        <f aca="false">IF(OR(F12="Stable",F12="LTS",F12="Quantum"),"Passiva","Ativa (3 opções)")</f>
        <v>Ativa (3 opções)</v>
      </c>
      <c r="M12" s="10" t="n">
        <f aca="false">G12*Config!$B$4 + H12*Config!$B$5 + J12*Config!$B$6 + K12*Config!$B$7</f>
        <v>631</v>
      </c>
      <c r="N12" s="3"/>
    </row>
    <row r="13" customFormat="false" ht="15" hidden="false" customHeight="false" outlineLevel="0" collapsed="false">
      <c r="A13" s="3" t="s">
        <v>58</v>
      </c>
      <c r="B13" s="3" t="s">
        <v>53</v>
      </c>
      <c r="C13" s="3" t="s">
        <v>54</v>
      </c>
      <c r="D13" s="3" t="s">
        <v>41</v>
      </c>
      <c r="E13" s="3" t="s">
        <v>57</v>
      </c>
      <c r="F13" s="3" t="s">
        <v>13</v>
      </c>
      <c r="G13" s="3" t="n">
        <f aca="false">INDEX(Config!$B$11:$B$16,MATCH(F13,Config!$A$11:$A$16,0))</f>
        <v>1000</v>
      </c>
      <c r="H13" s="3" t="n">
        <f aca="false">INDEX(Config!$C$11:$C$16,MATCH(F13,Config!$A$11:$A$16,0))</f>
        <v>100</v>
      </c>
      <c r="I13" s="3" t="n">
        <v>0</v>
      </c>
      <c r="J13" s="3" t="n">
        <f aca="false">INDEX(Config!$D$11:$D$16,MATCH(F13,Config!$A$11:$A$16,0))</f>
        <v>85</v>
      </c>
      <c r="K13" s="9" t="n">
        <f aca="false">INDEX(Config!$E$11:$E$16,MATCH(F13,Config!$A$11:$A$16,0))</f>
        <v>0.06</v>
      </c>
      <c r="L13" s="3" t="str">
        <f aca="false">IF(OR(F13="Stable",F13="LTS",F13="Quantum"),"Passiva","Ativa (3 opções)")</f>
        <v>Ativa (3 opções)</v>
      </c>
      <c r="M13" s="10" t="n">
        <f aca="false">G13*Config!$B$4 + H13*Config!$B$5 + J13*Config!$B$6 + K13*Config!$B$7</f>
        <v>520</v>
      </c>
      <c r="N13" s="3"/>
    </row>
    <row r="14" customFormat="false" ht="15" hidden="false" customHeight="false" outlineLevel="0" collapsed="false">
      <c r="A14" s="3" t="s">
        <v>59</v>
      </c>
      <c r="B14" s="3" t="s">
        <v>60</v>
      </c>
      <c r="C14" s="3" t="s">
        <v>61</v>
      </c>
      <c r="D14" s="3" t="s">
        <v>35</v>
      </c>
      <c r="E14" s="3" t="s">
        <v>36</v>
      </c>
      <c r="F14" s="3" t="s">
        <v>17</v>
      </c>
      <c r="G14" s="3" t="n">
        <f aca="false">INDEX(Config!$B$11:$B$16,MATCH(F14,Config!$A$11:$A$16,0))</f>
        <v>3000</v>
      </c>
      <c r="H14" s="3" t="n">
        <f aca="false">INDEX(Config!$C$11:$C$16,MATCH(F14,Config!$A$11:$A$16,0))</f>
        <v>300</v>
      </c>
      <c r="I14" s="3" t="n">
        <v>0</v>
      </c>
      <c r="J14" s="3" t="n">
        <f aca="false">INDEX(Config!$D$11:$D$16,MATCH(F14,Config!$A$11:$A$16,0))</f>
        <v>110</v>
      </c>
      <c r="K14" s="9" t="n">
        <f aca="false">INDEX(Config!$E$11:$E$16,MATCH(F14,Config!$A$11:$A$16,0))</f>
        <v>0.1</v>
      </c>
      <c r="L14" s="3" t="str">
        <f aca="false">IF(OR(F14="Stable",F14="LTS",F14="Quantum"),"Passiva","Ativa (3 opções)")</f>
        <v>Passiva</v>
      </c>
      <c r="M14" s="10" t="n">
        <f aca="false">G14*Config!$B$4 + H14*Config!$B$5 + J14*Config!$B$6 + K14*Config!$B$7</f>
        <v>1230</v>
      </c>
      <c r="N14" s="3"/>
    </row>
    <row r="15" customFormat="false" ht="15" hidden="false" customHeight="false" outlineLevel="0" collapsed="false">
      <c r="A15" s="3" t="s">
        <v>62</v>
      </c>
      <c r="B15" s="3" t="s">
        <v>60</v>
      </c>
      <c r="C15" s="3" t="s">
        <v>61</v>
      </c>
      <c r="D15" s="3" t="s">
        <v>41</v>
      </c>
      <c r="E15" s="3" t="s">
        <v>57</v>
      </c>
      <c r="F15" s="3" t="s">
        <v>16</v>
      </c>
      <c r="G15" s="3" t="n">
        <f aca="false">INDEX(Config!$B$11:$B$16,MATCH(F15,Config!$A$11:$A$16,0))</f>
        <v>2200</v>
      </c>
      <c r="H15" s="3" t="n">
        <f aca="false">INDEX(Config!$C$11:$C$16,MATCH(F15,Config!$A$11:$A$16,0))</f>
        <v>220</v>
      </c>
      <c r="I15" s="3" t="n">
        <v>0</v>
      </c>
      <c r="J15" s="3" t="n">
        <f aca="false">INDEX(Config!$D$11:$D$16,MATCH(F15,Config!$A$11:$A$16,0))</f>
        <v>100</v>
      </c>
      <c r="K15" s="9" t="n">
        <f aca="false">INDEX(Config!$E$11:$E$16,MATCH(F15,Config!$A$11:$A$16,0))</f>
        <v>0.09</v>
      </c>
      <c r="L15" s="3" t="str">
        <f aca="false">IF(OR(F15="Stable",F15="LTS",F15="Quantum"),"Passiva","Ativa (3 opções)")</f>
        <v>Passiva</v>
      </c>
      <c r="M15" s="10" t="n">
        <f aca="false">G15*Config!$B$4 + H15*Config!$B$5 + J15*Config!$B$6 + K15*Config!$B$7</f>
        <v>949</v>
      </c>
      <c r="N15" s="3"/>
    </row>
    <row r="16" customFormat="false" ht="15" hidden="false" customHeight="false" outlineLevel="0" collapsed="false">
      <c r="A16" s="3" t="s">
        <v>63</v>
      </c>
      <c r="B16" s="3" t="s">
        <v>60</v>
      </c>
      <c r="C16" s="3" t="s">
        <v>61</v>
      </c>
      <c r="D16" s="3" t="s">
        <v>44</v>
      </c>
      <c r="E16" s="3" t="s">
        <v>45</v>
      </c>
      <c r="F16" s="3" t="s">
        <v>14</v>
      </c>
      <c r="G16" s="3" t="n">
        <f aca="false">INDEX(Config!$B$11:$B$16,MATCH(F16,Config!$A$11:$A$16,0))</f>
        <v>1300</v>
      </c>
      <c r="H16" s="3" t="n">
        <f aca="false">INDEX(Config!$C$11:$C$16,MATCH(F16,Config!$A$11:$A$16,0))</f>
        <v>130</v>
      </c>
      <c r="I16" s="3" t="n">
        <v>0</v>
      </c>
      <c r="J16" s="3" t="n">
        <f aca="false">INDEX(Config!$D$11:$D$16,MATCH(F16,Config!$A$11:$A$16,0))</f>
        <v>90</v>
      </c>
      <c r="K16" s="9" t="n">
        <f aca="false">INDEX(Config!$E$11:$E$16,MATCH(F16,Config!$A$11:$A$16,0))</f>
        <v>0.07</v>
      </c>
      <c r="L16" s="3" t="str">
        <f aca="false">IF(OR(F16="Stable",F16="LTS",F16="Quantum"),"Passiva","Ativa (3 opções)")</f>
        <v>Ativa (3 opções)</v>
      </c>
      <c r="M16" s="10" t="n">
        <f aca="false">G16*Config!$B$4 + H16*Config!$B$5 + J16*Config!$B$6 + K16*Config!$B$7</f>
        <v>631</v>
      </c>
      <c r="N16" s="3"/>
    </row>
    <row r="17" customFormat="false" ht="15" hidden="false" customHeight="false" outlineLevel="0" collapsed="false">
      <c r="A17" s="3" t="s">
        <v>64</v>
      </c>
      <c r="B17" s="3" t="s">
        <v>60</v>
      </c>
      <c r="C17" s="3" t="s">
        <v>61</v>
      </c>
      <c r="D17" s="3" t="s">
        <v>38</v>
      </c>
      <c r="E17" s="3" t="s">
        <v>39</v>
      </c>
      <c r="F17" s="3" t="s">
        <v>12</v>
      </c>
      <c r="G17" s="3" t="n">
        <f aca="false">INDEX(Config!$B$11:$B$16,MATCH(F17,Config!$A$11:$A$16,0))</f>
        <v>800</v>
      </c>
      <c r="H17" s="3" t="n">
        <f aca="false">INDEX(Config!$C$11:$C$16,MATCH(F17,Config!$A$11:$A$16,0))</f>
        <v>80</v>
      </c>
      <c r="I17" s="3" t="n">
        <v>0</v>
      </c>
      <c r="J17" s="3" t="n">
        <f aca="false">INDEX(Config!$D$11:$D$16,MATCH(F17,Config!$A$11:$A$16,0))</f>
        <v>80</v>
      </c>
      <c r="K17" s="9" t="n">
        <f aca="false">INDEX(Config!$E$11:$E$16,MATCH(F17,Config!$A$11:$A$16,0))</f>
        <v>0.05</v>
      </c>
      <c r="L17" s="3" t="str">
        <f aca="false">IF(OR(F17="Stable",F17="LTS",F17="Quantum"),"Passiva","Ativa (3 opções)")</f>
        <v>Ativa (3 opções)</v>
      </c>
      <c r="M17" s="10" t="n">
        <f aca="false">G17*Config!$B$4 + H17*Config!$B$5 + J17*Config!$B$6 + K17*Config!$B$7</f>
        <v>441</v>
      </c>
      <c r="N17" s="3"/>
    </row>
    <row r="18" customFormat="false" ht="15" hidden="false" customHeight="false" outlineLevel="0" collapsed="false">
      <c r="A18" s="3" t="s">
        <v>65</v>
      </c>
      <c r="B18" s="3" t="s">
        <v>66</v>
      </c>
      <c r="C18" s="3" t="s">
        <v>67</v>
      </c>
      <c r="D18" s="3" t="s">
        <v>35</v>
      </c>
      <c r="E18" s="3" t="s">
        <v>36</v>
      </c>
      <c r="F18" s="3" t="s">
        <v>17</v>
      </c>
      <c r="G18" s="3" t="n">
        <f aca="false">INDEX(Config!$B$11:$B$16,MATCH(F18,Config!$A$11:$A$16,0))</f>
        <v>3000</v>
      </c>
      <c r="H18" s="3" t="n">
        <f aca="false">INDEX(Config!$C$11:$C$16,MATCH(F18,Config!$A$11:$A$16,0))</f>
        <v>300</v>
      </c>
      <c r="I18" s="3" t="n">
        <v>0</v>
      </c>
      <c r="J18" s="3" t="n">
        <f aca="false">INDEX(Config!$D$11:$D$16,MATCH(F18,Config!$A$11:$A$16,0))</f>
        <v>110</v>
      </c>
      <c r="K18" s="9" t="n">
        <f aca="false">INDEX(Config!$E$11:$E$16,MATCH(F18,Config!$A$11:$A$16,0))</f>
        <v>0.1</v>
      </c>
      <c r="L18" s="3" t="str">
        <f aca="false">IF(OR(F18="Stable",F18="LTS",F18="Quantum"),"Passiva","Ativa (3 opções)")</f>
        <v>Passiva</v>
      </c>
      <c r="M18" s="10" t="n">
        <f aca="false">G18*Config!$B$4 + H18*Config!$B$5 + J18*Config!$B$6 + K18*Config!$B$7</f>
        <v>1230</v>
      </c>
      <c r="N18" s="3"/>
    </row>
    <row r="19" customFormat="false" ht="15" hidden="false" customHeight="false" outlineLevel="0" collapsed="false">
      <c r="A19" s="3" t="s">
        <v>68</v>
      </c>
      <c r="B19" s="3" t="s">
        <v>66</v>
      </c>
      <c r="C19" s="3" t="s">
        <v>67</v>
      </c>
      <c r="D19" s="3" t="s">
        <v>41</v>
      </c>
      <c r="E19" s="3" t="s">
        <v>42</v>
      </c>
      <c r="F19" s="3" t="s">
        <v>16</v>
      </c>
      <c r="G19" s="3" t="n">
        <f aca="false">INDEX(Config!$B$11:$B$16,MATCH(F19,Config!$A$11:$A$16,0))</f>
        <v>2200</v>
      </c>
      <c r="H19" s="3" t="n">
        <f aca="false">INDEX(Config!$C$11:$C$16,MATCH(F19,Config!$A$11:$A$16,0))</f>
        <v>220</v>
      </c>
      <c r="I19" s="3" t="n">
        <v>0</v>
      </c>
      <c r="J19" s="3" t="n">
        <f aca="false">INDEX(Config!$D$11:$D$16,MATCH(F19,Config!$A$11:$A$16,0))</f>
        <v>100</v>
      </c>
      <c r="K19" s="9" t="n">
        <f aca="false">INDEX(Config!$E$11:$E$16,MATCH(F19,Config!$A$11:$A$16,0))</f>
        <v>0.09</v>
      </c>
      <c r="L19" s="3" t="str">
        <f aca="false">IF(OR(F19="Stable",F19="LTS",F19="Quantum"),"Passiva","Ativa (3 opções)")</f>
        <v>Passiva</v>
      </c>
      <c r="M19" s="10" t="n">
        <f aca="false">G19*Config!$B$4 + H19*Config!$B$5 + J19*Config!$B$6 + K19*Config!$B$7</f>
        <v>949</v>
      </c>
      <c r="N19" s="3"/>
    </row>
    <row r="20" customFormat="false" ht="15" hidden="false" customHeight="false" outlineLevel="0" collapsed="false">
      <c r="A20" s="3" t="s">
        <v>69</v>
      </c>
      <c r="B20" s="3" t="s">
        <v>66</v>
      </c>
      <c r="C20" s="3" t="s">
        <v>67</v>
      </c>
      <c r="D20" s="3" t="s">
        <v>38</v>
      </c>
      <c r="E20" s="3" t="s">
        <v>57</v>
      </c>
      <c r="F20" s="3" t="s">
        <v>14</v>
      </c>
      <c r="G20" s="3" t="n">
        <f aca="false">INDEX(Config!$B$11:$B$16,MATCH(F20,Config!$A$11:$A$16,0))</f>
        <v>1300</v>
      </c>
      <c r="H20" s="3" t="n">
        <f aca="false">INDEX(Config!$C$11:$C$16,MATCH(F20,Config!$A$11:$A$16,0))</f>
        <v>130</v>
      </c>
      <c r="I20" s="3" t="n">
        <v>0</v>
      </c>
      <c r="J20" s="3" t="n">
        <f aca="false">INDEX(Config!$D$11:$D$16,MATCH(F20,Config!$A$11:$A$16,0))</f>
        <v>90</v>
      </c>
      <c r="K20" s="9" t="n">
        <f aca="false">INDEX(Config!$E$11:$E$16,MATCH(F20,Config!$A$11:$A$16,0))</f>
        <v>0.07</v>
      </c>
      <c r="L20" s="3" t="str">
        <f aca="false">IF(OR(F20="Stable",F20="LTS",F20="Quantum"),"Passiva","Ativa (3 opções)")</f>
        <v>Ativa (3 opções)</v>
      </c>
      <c r="M20" s="10" t="n">
        <f aca="false">G20*Config!$B$4 + H20*Config!$B$5 + J20*Config!$B$6 + K20*Config!$B$7</f>
        <v>631</v>
      </c>
      <c r="N20" s="3"/>
    </row>
    <row r="21" customFormat="false" ht="15" hidden="false" customHeight="false" outlineLevel="0" collapsed="false">
      <c r="A21" s="3" t="s">
        <v>70</v>
      </c>
      <c r="B21" s="3" t="s">
        <v>66</v>
      </c>
      <c r="C21" s="3" t="s">
        <v>67</v>
      </c>
      <c r="D21" s="3" t="s">
        <v>44</v>
      </c>
      <c r="E21" s="3" t="s">
        <v>45</v>
      </c>
      <c r="F21" s="3" t="s">
        <v>13</v>
      </c>
      <c r="G21" s="3" t="n">
        <f aca="false">INDEX(Config!$B$11:$B$16,MATCH(F21,Config!$A$11:$A$16,0))</f>
        <v>1000</v>
      </c>
      <c r="H21" s="3" t="n">
        <f aca="false">INDEX(Config!$C$11:$C$16,MATCH(F21,Config!$A$11:$A$16,0))</f>
        <v>100</v>
      </c>
      <c r="I21" s="3" t="n">
        <v>0</v>
      </c>
      <c r="J21" s="3" t="n">
        <f aca="false">INDEX(Config!$D$11:$D$16,MATCH(F21,Config!$A$11:$A$16,0))</f>
        <v>85</v>
      </c>
      <c r="K21" s="9" t="n">
        <f aca="false">INDEX(Config!$E$11:$E$16,MATCH(F21,Config!$A$11:$A$16,0))</f>
        <v>0.06</v>
      </c>
      <c r="L21" s="3" t="str">
        <f aca="false">IF(OR(F21="Stable",F21="LTS",F21="Quantum"),"Passiva","Ativa (3 opções)")</f>
        <v>Ativa (3 opções)</v>
      </c>
      <c r="M21" s="10" t="n">
        <f aca="false">G21*Config!$B$4 + H21*Config!$B$5 + J21*Config!$B$6 + K21*Config!$B$7</f>
        <v>520</v>
      </c>
      <c r="N21" s="3"/>
    </row>
    <row r="22" customFormat="false" ht="15" hidden="false" customHeight="false" outlineLevel="0" collapsed="false">
      <c r="A22" s="3" t="s">
        <v>71</v>
      </c>
      <c r="B22" s="3" t="s">
        <v>72</v>
      </c>
      <c r="C22" s="3" t="s">
        <v>73</v>
      </c>
      <c r="D22" s="3" t="s">
        <v>41</v>
      </c>
      <c r="E22" s="3" t="s">
        <v>45</v>
      </c>
      <c r="F22" s="3" t="s">
        <v>17</v>
      </c>
      <c r="G22" s="3" t="n">
        <f aca="false">INDEX(Config!$B$11:$B$16,MATCH(F22,Config!$A$11:$A$16,0))</f>
        <v>3000</v>
      </c>
      <c r="H22" s="3" t="n">
        <f aca="false">INDEX(Config!$C$11:$C$16,MATCH(F22,Config!$A$11:$A$16,0))</f>
        <v>300</v>
      </c>
      <c r="I22" s="3" t="n">
        <v>0</v>
      </c>
      <c r="J22" s="3" t="n">
        <f aca="false">INDEX(Config!$D$11:$D$16,MATCH(F22,Config!$A$11:$A$16,0))</f>
        <v>110</v>
      </c>
      <c r="K22" s="9" t="n">
        <f aca="false">INDEX(Config!$E$11:$E$16,MATCH(F22,Config!$A$11:$A$16,0))</f>
        <v>0.1</v>
      </c>
      <c r="L22" s="3" t="str">
        <f aca="false">IF(OR(F22="Stable",F22="LTS",F22="Quantum"),"Passiva","Ativa (3 opções)")</f>
        <v>Passiva</v>
      </c>
      <c r="M22" s="10" t="n">
        <f aca="false">G22*Config!$B$4 + H22*Config!$B$5 + J22*Config!$B$6 + K22*Config!$B$7</f>
        <v>1230</v>
      </c>
      <c r="N22" s="3"/>
    </row>
    <row r="23" customFormat="false" ht="15" hidden="false" customHeight="false" outlineLevel="0" collapsed="false">
      <c r="A23" s="3" t="s">
        <v>74</v>
      </c>
      <c r="B23" s="3" t="s">
        <v>72</v>
      </c>
      <c r="C23" s="3" t="s">
        <v>73</v>
      </c>
      <c r="D23" s="3" t="s">
        <v>35</v>
      </c>
      <c r="E23" s="3" t="s">
        <v>42</v>
      </c>
      <c r="F23" s="3" t="s">
        <v>16</v>
      </c>
      <c r="G23" s="3" t="n">
        <f aca="false">INDEX(Config!$B$11:$B$16,MATCH(F23,Config!$A$11:$A$16,0))</f>
        <v>2200</v>
      </c>
      <c r="H23" s="3" t="n">
        <f aca="false">INDEX(Config!$C$11:$C$16,MATCH(F23,Config!$A$11:$A$16,0))</f>
        <v>220</v>
      </c>
      <c r="I23" s="3" t="n">
        <v>0</v>
      </c>
      <c r="J23" s="3" t="n">
        <f aca="false">INDEX(Config!$D$11:$D$16,MATCH(F23,Config!$A$11:$A$16,0))</f>
        <v>100</v>
      </c>
      <c r="K23" s="9" t="n">
        <f aca="false">INDEX(Config!$E$11:$E$16,MATCH(F23,Config!$A$11:$A$16,0))</f>
        <v>0.09</v>
      </c>
      <c r="L23" s="3" t="str">
        <f aca="false">IF(OR(F23="Stable",F23="LTS",F23="Quantum"),"Passiva","Ativa (3 opções)")</f>
        <v>Passiva</v>
      </c>
      <c r="M23" s="10" t="n">
        <f aca="false">G23*Config!$B$4 + H23*Config!$B$5 + J23*Config!$B$6 + K23*Config!$B$7</f>
        <v>949</v>
      </c>
      <c r="N23" s="3"/>
    </row>
    <row r="24" customFormat="false" ht="15" hidden="false" customHeight="false" outlineLevel="0" collapsed="false">
      <c r="A24" s="3" t="s">
        <v>75</v>
      </c>
      <c r="B24" s="3" t="s">
        <v>72</v>
      </c>
      <c r="C24" s="3" t="s">
        <v>73</v>
      </c>
      <c r="D24" s="3" t="s">
        <v>38</v>
      </c>
      <c r="E24" s="3" t="s">
        <v>57</v>
      </c>
      <c r="F24" s="3" t="s">
        <v>14</v>
      </c>
      <c r="G24" s="3" t="n">
        <f aca="false">INDEX(Config!$B$11:$B$16,MATCH(F24,Config!$A$11:$A$16,0))</f>
        <v>1300</v>
      </c>
      <c r="H24" s="3" t="n">
        <f aca="false">INDEX(Config!$C$11:$C$16,MATCH(F24,Config!$A$11:$A$16,0))</f>
        <v>130</v>
      </c>
      <c r="I24" s="3" t="n">
        <v>0</v>
      </c>
      <c r="J24" s="3" t="n">
        <f aca="false">INDEX(Config!$D$11:$D$16,MATCH(F24,Config!$A$11:$A$16,0))</f>
        <v>90</v>
      </c>
      <c r="K24" s="9" t="n">
        <f aca="false">INDEX(Config!$E$11:$E$16,MATCH(F24,Config!$A$11:$A$16,0))</f>
        <v>0.07</v>
      </c>
      <c r="L24" s="3" t="str">
        <f aca="false">IF(OR(F24="Stable",F24="LTS",F24="Quantum"),"Passiva","Ativa (3 opções)")</f>
        <v>Ativa (3 opções)</v>
      </c>
      <c r="M24" s="10" t="n">
        <f aca="false">G24*Config!$B$4 + H24*Config!$B$5 + J24*Config!$B$6 + K24*Config!$B$7</f>
        <v>631</v>
      </c>
      <c r="N24" s="3"/>
    </row>
    <row r="25" customFormat="false" ht="15" hidden="false" customHeight="false" outlineLevel="0" collapsed="false">
      <c r="A25" s="3" t="s">
        <v>76</v>
      </c>
      <c r="B25" s="3" t="s">
        <v>72</v>
      </c>
      <c r="C25" s="3" t="s">
        <v>73</v>
      </c>
      <c r="D25" s="3" t="s">
        <v>44</v>
      </c>
      <c r="E25" s="3" t="s">
        <v>39</v>
      </c>
      <c r="F25" s="3" t="s">
        <v>12</v>
      </c>
      <c r="G25" s="3" t="n">
        <f aca="false">INDEX(Config!$B$11:$B$16,MATCH(F25,Config!$A$11:$A$16,0))</f>
        <v>800</v>
      </c>
      <c r="H25" s="3" t="n">
        <f aca="false">INDEX(Config!$C$11:$C$16,MATCH(F25,Config!$A$11:$A$16,0))</f>
        <v>80</v>
      </c>
      <c r="I25" s="3" t="n">
        <v>0</v>
      </c>
      <c r="J25" s="3" t="n">
        <f aca="false">INDEX(Config!$D$11:$D$16,MATCH(F25,Config!$A$11:$A$16,0))</f>
        <v>80</v>
      </c>
      <c r="K25" s="9" t="n">
        <f aca="false">INDEX(Config!$E$11:$E$16,MATCH(F25,Config!$A$11:$A$16,0))</f>
        <v>0.05</v>
      </c>
      <c r="L25" s="3" t="str">
        <f aca="false">IF(OR(F25="Stable",F25="LTS",F25="Quantum"),"Passiva","Ativa (3 opções)")</f>
        <v>Ativa (3 opções)</v>
      </c>
      <c r="M25" s="10" t="n">
        <f aca="false">G25*Config!$B$4 + H25*Config!$B$5 + J25*Config!$B$6 + K25*Config!$B$7</f>
        <v>441</v>
      </c>
      <c r="N25" s="3"/>
    </row>
    <row r="27" customFormat="false" ht="15" hidden="false" customHeight="false" outlineLevel="0" collapsed="false">
      <c r="A27" s="7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2026-08-13T16:16:34Z</dcterms:created>
  <dc:creator>openpyxl</dc:creator>
  <dc:description/>
  <dc:language>en-US</dc:language>
  <cp:lastModifiedBy/>
  <dcterms:modified xsi:type="dcterms:W3CDTF">2026-08-13T16:16:34Z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